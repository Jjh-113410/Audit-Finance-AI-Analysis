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60" windowHeight="12020" firstSheet="2"/>
  </bookViews>
  <sheets>
    <sheet name="看板首页" sheetId="1" r:id="rId1"/>
    <sheet name="收入数据" sheetId="2" r:id="rId2"/>
    <sheet name="净利润率" sheetId="3" r:id="rId3"/>
    <sheet name="ROE" sheetId="4" r:id="rId4"/>
    <sheet name="流动比率" sheetId="5" r:id="rId5"/>
    <sheet name="收入增长率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<sst xmlns="http://schemas.openxmlformats.org/spreadsheetml/2006/main" count="33" uniqueCount="17">
  <si>
    <t>📊 白酒行业三家公司财务对比分析看板（2021-2025）</t>
  </si>
  <si>
    <t>数据来源：巨潮资讯网 | 分析期间：2021-2025</t>
  </si>
  <si>
    <t>🔍 关键洞察：</t>
  </si>
  <si>
    <t>1. 收入规模：贵州茅台（1721亿）&gt; 五粮液（405亿）&gt; 泸州老窖（257亿），茅台是绝对龙头</t>
  </si>
  <si>
    <t>2. 盈利能力：茅台净利率约50%，远超五粮液（22%）和泸州老窖（42%）</t>
  </si>
  <si>
    <t>3. ROE：茅台稳定在30%以上，盈利能力最强</t>
  </si>
  <si>
    <t>4. 2025年行业调整：三家公司均出现下滑，五粮液降幅最大</t>
  </si>
  <si>
    <t>5. 偿债能力：三家公司流动比率均&gt;2，短期偿债能力良好</t>
  </si>
  <si>
    <t>表1：收入数据（万元）</t>
  </si>
  <si>
    <t>公司</t>
  </si>
  <si>
    <t>贵州茅台</t>
  </si>
  <si>
    <t>五粮液</t>
  </si>
  <si>
    <t>泸州老窖</t>
  </si>
  <si>
    <t>表2：净利润率（%）</t>
  </si>
  <si>
    <t>表3：ROE 净资产收益率（%）</t>
  </si>
  <si>
    <t>表4：流动比率</t>
  </si>
  <si>
    <t>表5：收入增长率（%）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</si>
</sst>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收入趋势对比折线图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收入数据!$A$1</c:f>
              <c:strCache>
                <c:ptCount val="1"/>
                <c:pt idx="0">
                  <c:v>表1：收入数据（万元）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收入数据!$B$2:$F$2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收入数据!$B$1:$F$1</c:f>
              <c:numCache>
                <c:formatCode>General</c:formatCode>
                <c:ptCount val="5"/>
              </c:numCache>
            </c:numRef>
          </c:val>
          <c:smooth val="0"/>
        </c:ser>
        <c:ser>
          <c:idx val="2"/>
          <c:order val="1"/>
          <c:tx>
            <c:strRef>
              <c:f>收入数据!$A$3</c:f>
              <c:strCache>
                <c:ptCount val="1"/>
                <c:pt idx="0">
                  <c:v>贵州茅台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收入数据!$B$2:$F$2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收入数据!$B$3:$F$3</c:f>
              <c:numCache>
                <c:formatCode>General</c:formatCode>
                <c:ptCount val="5"/>
                <c:pt idx="0">
                  <c:v>1094</c:v>
                </c:pt>
                <c:pt idx="1">
                  <c:v>1276</c:v>
                </c:pt>
                <c:pt idx="2">
                  <c:v>1506</c:v>
                </c:pt>
                <c:pt idx="3">
                  <c:v>1741</c:v>
                </c:pt>
                <c:pt idx="4">
                  <c:v>1721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收入数据!$A$4</c:f>
              <c:strCache>
                <c:ptCount val="1"/>
                <c:pt idx="0">
                  <c:v>五粮液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收入数据!$B$2:$F$2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收入数据!$B$4:$F$4</c:f>
              <c:numCache>
                <c:formatCode>General</c:formatCode>
                <c:ptCount val="5"/>
                <c:pt idx="0">
                  <c:v>662</c:v>
                </c:pt>
                <c:pt idx="1">
                  <c:v>740</c:v>
                </c:pt>
                <c:pt idx="2">
                  <c:v>833</c:v>
                </c:pt>
                <c:pt idx="3">
                  <c:v>892</c:v>
                </c:pt>
                <c:pt idx="4">
                  <c:v>405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收入数据!$A$5</c:f>
              <c:strCache>
                <c:ptCount val="1"/>
                <c:pt idx="0">
                  <c:v>泸州老窖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收入数据!$B$2:$F$2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收入数据!$B$5:$F$5</c:f>
              <c:numCache>
                <c:formatCode>General</c:formatCode>
                <c:ptCount val="5"/>
                <c:pt idx="0">
                  <c:v>206</c:v>
                </c:pt>
                <c:pt idx="1">
                  <c:v>251</c:v>
                </c:pt>
                <c:pt idx="2">
                  <c:v>302</c:v>
                </c:pt>
                <c:pt idx="3">
                  <c:v>312</c:v>
                </c:pt>
                <c:pt idx="4">
                  <c:v>257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850095539"/>
        <c:axId val="487789318"/>
      </c:lineChart>
      <c:catAx>
        <c:axId val="8500955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7789318"/>
        <c:crosses val="autoZero"/>
        <c:auto val="1"/>
        <c:lblAlgn val="ctr"/>
        <c:lblOffset val="100"/>
        <c:noMultiLvlLbl val="0"/>
      </c:catAx>
      <c:valAx>
        <c:axId val="4877893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00955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7a9f0b-6e5f-4dea-9eea-b3cb91a59f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净利润率对比柱状图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净利润率!$A$3</c:f>
              <c:strCache>
                <c:ptCount val="1"/>
                <c:pt idx="0">
                  <c:v>贵州茅台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净利润率!$B$2:$F$2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净利润率!$B$3:$F$3</c:f>
              <c:numCache>
                <c:formatCode>General</c:formatCode>
                <c:ptCount val="5"/>
                <c:pt idx="0">
                  <c:v>49.4</c:v>
                </c:pt>
                <c:pt idx="1">
                  <c:v>50.54</c:v>
                </c:pt>
                <c:pt idx="2">
                  <c:v>50.6</c:v>
                </c:pt>
                <c:pt idx="3">
                  <c:v>50.46</c:v>
                </c:pt>
                <c:pt idx="4">
                  <c:v>48.76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499610"/>
        <c:axId val="5628989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净利润率!$A$2</c15:sqref>
                        </c15:formulaRef>
                      </c:ext>
                    </c:extLst>
                    <c:strCache>
                      <c:ptCount val="1"/>
                      <c:pt idx="0">
                        <c:v>公司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净利润率!$B$2:$F$2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{2021,2022,2023,2024,2025}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val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2"/>
          <c:order val="2"/>
          <c:tx>
            <c:strRef>
              <c:f>净利润率!$A$4</c:f>
              <c:strCache>
                <c:ptCount val="1"/>
                <c:pt idx="0">
                  <c:v>五粮液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净利润率!$B$4:$F$4</c:f>
              <c:numCache>
                <c:formatCode>General</c:formatCode>
                <c:ptCount val="5"/>
                <c:pt idx="0">
                  <c:v>35.72</c:v>
                </c:pt>
                <c:pt idx="1">
                  <c:v>36.08</c:v>
                </c:pt>
                <c:pt idx="2">
                  <c:v>36.28</c:v>
                </c:pt>
                <c:pt idx="3">
                  <c:v>35.72</c:v>
                </c:pt>
                <c:pt idx="4">
                  <c:v>22.09</c:v>
                </c:pt>
              </c:numCache>
            </c:numRef>
          </c:val>
        </c:ser>
        <c:ser>
          <c:idx val="3"/>
          <c:order val="3"/>
          <c:tx>
            <c:strRef>
              <c:f>净利润率!$A$5</c:f>
              <c:strCache>
                <c:ptCount val="1"/>
                <c:pt idx="0">
                  <c:v>泸州老窖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净利润率!$B$5:$F$5</c:f>
              <c:numCache>
                <c:formatCode>General</c:formatCode>
                <c:ptCount val="5"/>
                <c:pt idx="0">
                  <c:v>38.54</c:v>
                </c:pt>
                <c:pt idx="1">
                  <c:v>41.26</c:v>
                </c:pt>
                <c:pt idx="2">
                  <c:v>43.81</c:v>
                </c:pt>
                <c:pt idx="3">
                  <c:v>43.19</c:v>
                </c:pt>
                <c:pt idx="4">
                  <c:v>42.09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5888771"/>
        <c:axId val="924018711"/>
      </c:barChart>
      <c:catAx>
        <c:axId val="6494996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2898955"/>
        <c:crosses val="autoZero"/>
        <c:auto val="1"/>
        <c:lblAlgn val="ctr"/>
        <c:lblOffset val="100"/>
        <c:noMultiLvlLbl val="0"/>
      </c:catAx>
      <c:valAx>
        <c:axId val="5628989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499610"/>
        <c:crosses val="autoZero"/>
        <c:crossBetween val="between"/>
      </c:valAx>
      <c:catAx>
        <c:axId val="53588877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018711"/>
        <c:crosses val="autoZero"/>
        <c:auto val="1"/>
        <c:lblAlgn val="ctr"/>
        <c:lblOffset val="100"/>
        <c:noMultiLvlLbl val="0"/>
      </c:catAx>
      <c:valAx>
        <c:axId val="9240187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588877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0f01183e-e966-4101-84c8-bb6f6ac8648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ROE对比柱状图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ROE!$A$3</c:f>
              <c:strCache>
                <c:ptCount val="1"/>
                <c:pt idx="0">
                  <c:v>贵州茅台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ROE!$B$2:$F$2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ROE!$B$3:$F$3</c:f>
              <c:numCache>
                <c:formatCode>General</c:formatCode>
                <c:ptCount val="5"/>
                <c:pt idx="0">
                  <c:v>29.9</c:v>
                </c:pt>
                <c:pt idx="1">
                  <c:v>30.26</c:v>
                </c:pt>
                <c:pt idx="2">
                  <c:v>34.19</c:v>
                </c:pt>
                <c:pt idx="3">
                  <c:v>36.02</c:v>
                </c:pt>
                <c:pt idx="4">
                  <c:v>32.53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2560551"/>
        <c:axId val="37984905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ROE!$A$2</c15:sqref>
                        </c15:formulaRef>
                      </c:ext>
                    </c:extLst>
                    <c:strCache>
                      <c:ptCount val="1"/>
                      <c:pt idx="0">
                        <c:v>公司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ROE!$B$2:$F$2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{2021,2022,2023,2024,2025}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val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2"/>
          <c:order val="2"/>
          <c:tx>
            <c:strRef>
              <c:f>ROE!$A$4</c:f>
              <c:strCache>
                <c:ptCount val="1"/>
                <c:pt idx="0">
                  <c:v>五粮液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ROE!$B$4:$F$4</c:f>
              <c:numCache>
                <c:formatCode>General</c:formatCode>
                <c:ptCount val="5"/>
                <c:pt idx="0">
                  <c:v>25.3</c:v>
                </c:pt>
                <c:pt idx="1">
                  <c:v>25.28</c:v>
                </c:pt>
                <c:pt idx="2">
                  <c:v>25.06</c:v>
                </c:pt>
                <c:pt idx="3">
                  <c:v>23.35</c:v>
                </c:pt>
                <c:pt idx="4">
                  <c:v>6.89</c:v>
                </c:pt>
              </c:numCache>
            </c:numRef>
          </c:val>
        </c:ser>
        <c:ser>
          <c:idx val="3"/>
          <c:order val="3"/>
          <c:tx>
            <c:strRef>
              <c:f>ROE!$A$5</c:f>
              <c:strCache>
                <c:ptCount val="1"/>
                <c:pt idx="0">
                  <c:v>泸州老窖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880198796756474"/>
                      <c:h val="0.0778191985088537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ROE!$B$5:$F$5</c:f>
              <c:numCache>
                <c:formatCode>General</c:formatCode>
                <c:ptCount val="5"/>
                <c:pt idx="0">
                  <c:v>31.15</c:v>
                </c:pt>
                <c:pt idx="1">
                  <c:v>33.32</c:v>
                </c:pt>
                <c:pt idx="2">
                  <c:v>35.07</c:v>
                </c:pt>
                <c:pt idx="3">
                  <c:v>30.44</c:v>
                </c:pt>
                <c:pt idx="4">
                  <c:v>22.66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3614085"/>
        <c:axId val="595196580"/>
      </c:barChart>
      <c:catAx>
        <c:axId val="922560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849058"/>
        <c:crosses val="autoZero"/>
        <c:auto val="1"/>
        <c:lblAlgn val="ctr"/>
        <c:lblOffset val="100"/>
        <c:noMultiLvlLbl val="0"/>
      </c:catAx>
      <c:valAx>
        <c:axId val="37984905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2560551"/>
        <c:crosses val="autoZero"/>
        <c:crossBetween val="between"/>
      </c:valAx>
      <c:catAx>
        <c:axId val="723614085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5196580"/>
        <c:crosses val="autoZero"/>
        <c:auto val="1"/>
        <c:lblAlgn val="ctr"/>
        <c:lblOffset val="100"/>
        <c:noMultiLvlLbl val="0"/>
      </c:catAx>
      <c:valAx>
        <c:axId val="5951965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361408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ba1382-10a7-429b-8ebc-69b4168e2d1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流动比率对比柱状图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流动比率!$A$3</c:f>
              <c:strCache>
                <c:ptCount val="1"/>
                <c:pt idx="0">
                  <c:v>贵州茅台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流动比率!$B$2:$F$2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流动比率!$B$3:$F$3</c:f>
              <c:numCache>
                <c:formatCode>General</c:formatCode>
                <c:ptCount val="5"/>
                <c:pt idx="0">
                  <c:v>3.81</c:v>
                </c:pt>
                <c:pt idx="1">
                  <c:v>4.42</c:v>
                </c:pt>
                <c:pt idx="2">
                  <c:v>4.62</c:v>
                </c:pt>
                <c:pt idx="3">
                  <c:v>4.45</c:v>
                </c:pt>
                <c:pt idx="4">
                  <c:v>5.09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127042"/>
        <c:axId val="30849592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流动比率!$A$2</c15:sqref>
                        </c15:formulaRef>
                      </c:ext>
                    </c:extLst>
                    <c:strCache>
                      <c:ptCount val="1"/>
                      <c:pt idx="0">
                        <c:v>公司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流动比率!$B$2:$F$2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{2021,2022,2023,2024,2025}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val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2"/>
          <c:order val="2"/>
          <c:tx>
            <c:strRef>
              <c:f>流动比率!$A$4</c:f>
              <c:strCache>
                <c:ptCount val="1"/>
                <c:pt idx="0">
                  <c:v>五粮液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流动比率!$B$4:$F$4</c:f>
              <c:numCache>
                <c:formatCode>General</c:formatCode>
                <c:ptCount val="5"/>
                <c:pt idx="0">
                  <c:v>2.43</c:v>
                </c:pt>
                <c:pt idx="1">
                  <c:v>3.16</c:v>
                </c:pt>
                <c:pt idx="2">
                  <c:v>3.42</c:v>
                </c:pt>
                <c:pt idx="3">
                  <c:v>3.25</c:v>
                </c:pt>
                <c:pt idx="4">
                  <c:v>2.45</c:v>
                </c:pt>
              </c:numCache>
            </c:numRef>
          </c:val>
        </c:ser>
        <c:ser>
          <c:idx val="3"/>
          <c:order val="3"/>
          <c:tx>
            <c:strRef>
              <c:f>流动比率!$A$5</c:f>
              <c:strCache>
                <c:ptCount val="1"/>
                <c:pt idx="0">
                  <c:v>泸州老窖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流动比率!$B$5:$F$5</c:f>
              <c:numCache>
                <c:formatCode>General</c:formatCode>
                <c:ptCount val="5"/>
                <c:pt idx="0">
                  <c:v>2.43</c:v>
                </c:pt>
                <c:pt idx="1">
                  <c:v>3.15</c:v>
                </c:pt>
                <c:pt idx="2">
                  <c:v>4.5</c:v>
                </c:pt>
                <c:pt idx="3">
                  <c:v>3.56</c:v>
                </c:pt>
                <c:pt idx="4">
                  <c:v>3.86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6695718"/>
        <c:axId val="754681341"/>
      </c:barChart>
      <c:catAx>
        <c:axId val="3711270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495926"/>
        <c:crosses val="autoZero"/>
        <c:auto val="1"/>
        <c:lblAlgn val="ctr"/>
        <c:lblOffset val="100"/>
        <c:noMultiLvlLbl val="0"/>
      </c:catAx>
      <c:valAx>
        <c:axId val="30849592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1127042"/>
        <c:crosses val="autoZero"/>
        <c:crossBetween val="between"/>
      </c:valAx>
      <c:catAx>
        <c:axId val="496695718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681341"/>
        <c:crosses val="autoZero"/>
        <c:auto val="1"/>
        <c:lblAlgn val="ctr"/>
        <c:lblOffset val="100"/>
        <c:noMultiLvlLbl val="0"/>
      </c:catAx>
      <c:valAx>
        <c:axId val="75468134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669571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0efd09-5ab1-4627-a00c-9534083ba4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收入增长率对比柱状图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341916"/>
        <c:axId val="27416651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收入增长率!$A$2</c15:sqref>
                        </c15:formulaRef>
                      </c:ext>
                    </c:extLst>
                    <c:strCache>
                      <c:ptCount val="1"/>
                      <c:pt idx="0">
                        <c:v>公司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收入增长率!$B$2:$F$2</c15:sqref>
                        </c15:formulaRef>
                      </c:ext>
                    </c:extLst>
                    <c:numCache>
                      <c:ptCount val="0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{2021,2022,2023,2024,2025}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val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1"/>
          <c:order val="1"/>
          <c:tx>
            <c:strRef>
              <c:f>收入增长率!$A$3</c:f>
              <c:strCache>
                <c:ptCount val="1"/>
                <c:pt idx="0">
                  <c:v>贵州茅台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收入增长率!$B$3:$F$3</c:f>
              <c:numCache>
                <c:formatCode>General</c:formatCode>
                <c:ptCount val="5"/>
                <c:pt idx="0">
                  <c:v>11.88</c:v>
                </c:pt>
                <c:pt idx="1">
                  <c:v>16.87</c:v>
                </c:pt>
                <c:pt idx="2">
                  <c:v>19.01</c:v>
                </c:pt>
                <c:pt idx="3">
                  <c:v>15.71</c:v>
                </c:pt>
                <c:pt idx="4">
                  <c:v>-1.21</c:v>
                </c:pt>
              </c:numCache>
            </c:numRef>
          </c:val>
        </c:ser>
        <c:ser>
          <c:idx val="2"/>
          <c:order val="2"/>
          <c:tx>
            <c:strRef>
              <c:f>收入增长率!$A$4</c:f>
              <c:strCache>
                <c:ptCount val="1"/>
                <c:pt idx="0">
                  <c:v>五粮液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收入增长率!$B$4:$F$4</c:f>
              <c:numCache>
                <c:formatCode>General</c:formatCode>
                <c:ptCount val="5"/>
                <c:pt idx="0">
                  <c:v>15.51</c:v>
                </c:pt>
                <c:pt idx="1">
                  <c:v>11.72</c:v>
                </c:pt>
                <c:pt idx="2">
                  <c:v>12.58</c:v>
                </c:pt>
                <c:pt idx="3">
                  <c:v>7.09</c:v>
                </c:pt>
                <c:pt idx="4">
                  <c:v>-54.55</c:v>
                </c:pt>
              </c:numCache>
            </c:numRef>
          </c:val>
        </c:ser>
        <c:ser>
          <c:idx val="3"/>
          <c:order val="3"/>
          <c:tx>
            <c:strRef>
              <c:f>收入增长率!$A$5</c:f>
              <c:strCache>
                <c:ptCount val="1"/>
                <c:pt idx="0">
                  <c:v>泸州老窖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收入增长率!$B$5:$F$5</c:f>
              <c:numCache>
                <c:formatCode>General</c:formatCode>
                <c:ptCount val="5"/>
                <c:pt idx="0">
                  <c:v>23.96</c:v>
                </c:pt>
                <c:pt idx="1">
                  <c:v>21.71</c:v>
                </c:pt>
                <c:pt idx="2">
                  <c:v>20.34</c:v>
                </c:pt>
                <c:pt idx="3">
                  <c:v>3.19</c:v>
                </c:pt>
                <c:pt idx="4">
                  <c:v>-17.52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6878335"/>
        <c:axId val="298105940"/>
      </c:barChart>
      <c:catAx>
        <c:axId val="5723419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4166515"/>
        <c:crosses val="autoZero"/>
        <c:auto val="1"/>
        <c:lblAlgn val="ctr"/>
        <c:lblOffset val="100"/>
        <c:noMultiLvlLbl val="0"/>
      </c:catAx>
      <c:valAx>
        <c:axId val="2741665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2341916"/>
        <c:crosses val="autoZero"/>
        <c:crossBetween val="between"/>
      </c:valAx>
      <c:catAx>
        <c:axId val="656878335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8105940"/>
        <c:crosses val="autoZero"/>
        <c:auto val="1"/>
        <c:lblAlgn val="ctr"/>
        <c:lblOffset val="100"/>
        <c:noMultiLvlLbl val="0"/>
      </c:catAx>
      <c:valAx>
        <c:axId val="2981059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687833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ff28f4-c450-477a-a2e1-6e4828f97e0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2</xdr:row>
      <xdr:rowOff>94615</xdr:rowOff>
    </xdr:from>
    <xdr:to>
      <xdr:col>7</xdr:col>
      <xdr:colOff>559435</xdr:colOff>
      <xdr:row>15</xdr:row>
      <xdr:rowOff>206375</xdr:rowOff>
    </xdr:to>
    <xdr:graphicFrame>
      <xdr:nvGraphicFramePr>
        <xdr:cNvPr id="2" name="图表 1"/>
        <xdr:cNvGraphicFramePr/>
      </xdr:nvGraphicFramePr>
      <xdr:xfrm>
        <a:off x="635" y="521335"/>
        <a:ext cx="7930515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</xdr:colOff>
      <xdr:row>17</xdr:row>
      <xdr:rowOff>22225</xdr:rowOff>
    </xdr:from>
    <xdr:to>
      <xdr:col>9</xdr:col>
      <xdr:colOff>92710</xdr:colOff>
      <xdr:row>32</xdr:row>
      <xdr:rowOff>123825</xdr:rowOff>
    </xdr:to>
    <xdr:graphicFrame>
      <xdr:nvGraphicFramePr>
        <xdr:cNvPr id="4" name="图表 3"/>
        <xdr:cNvGraphicFramePr/>
      </xdr:nvGraphicFramePr>
      <xdr:xfrm>
        <a:off x="635" y="3649345"/>
        <a:ext cx="8682990" cy="3302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558800</xdr:colOff>
      <xdr:row>13</xdr:row>
      <xdr:rowOff>111760</xdr:rowOff>
    </xdr:to>
    <xdr:graphicFrame>
      <xdr:nvGraphicFramePr>
        <xdr:cNvPr id="5" name="图表 4"/>
        <xdr:cNvGraphicFramePr/>
      </xdr:nvGraphicFramePr>
      <xdr:xfrm>
        <a:off x="8590915" y="0"/>
        <a:ext cx="482600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598170</xdr:colOff>
      <xdr:row>14</xdr:row>
      <xdr:rowOff>191770</xdr:rowOff>
    </xdr:from>
    <xdr:to>
      <xdr:col>17</xdr:col>
      <xdr:colOff>547370</xdr:colOff>
      <xdr:row>28</xdr:row>
      <xdr:rowOff>90170</xdr:rowOff>
    </xdr:to>
    <xdr:graphicFrame>
      <xdr:nvGraphicFramePr>
        <xdr:cNvPr id="6" name="图表 5"/>
        <xdr:cNvGraphicFramePr/>
      </xdr:nvGraphicFramePr>
      <xdr:xfrm>
        <a:off x="9189085" y="3178810"/>
        <a:ext cx="482600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80645</xdr:colOff>
      <xdr:row>34</xdr:row>
      <xdr:rowOff>0</xdr:rowOff>
    </xdr:from>
    <xdr:to>
      <xdr:col>8</xdr:col>
      <xdr:colOff>29845</xdr:colOff>
      <xdr:row>47</xdr:row>
      <xdr:rowOff>111760</xdr:rowOff>
    </xdr:to>
    <xdr:graphicFrame>
      <xdr:nvGraphicFramePr>
        <xdr:cNvPr id="7" name="图表 6"/>
        <xdr:cNvGraphicFramePr/>
      </xdr:nvGraphicFramePr>
      <xdr:xfrm>
        <a:off x="80645" y="7254240"/>
        <a:ext cx="7930515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topLeftCell="E19" workbookViewId="0">
      <selection activeCell="M34" sqref="M34"/>
    </sheetView>
  </sheetViews>
  <sheetFormatPr defaultColWidth="9.23076923076923" defaultRowHeight="16.8"/>
  <cols>
    <col min="1" max="1" width="56.2403846153846" customWidth="1"/>
  </cols>
  <sheetData>
    <row r="1" spans="1:1">
      <c r="A1" s="5" t="s">
        <v>0</v>
      </c>
    </row>
    <row r="2" spans="1:1">
      <c r="A2" s="6" t="s">
        <v>1</v>
      </c>
    </row>
    <row r="35" spans="11:11">
      <c r="K35" t="s">
        <v>2</v>
      </c>
    </row>
    <row r="36" spans="11:11">
      <c r="K36" t="s">
        <v>3</v>
      </c>
    </row>
    <row r="37" spans="11:11">
      <c r="K37" t="s">
        <v>4</v>
      </c>
    </row>
    <row r="38" spans="11:11">
      <c r="K38" t="s">
        <v>5</v>
      </c>
    </row>
    <row r="39" spans="11:11">
      <c r="K39" t="s">
        <v>6</v>
      </c>
    </row>
    <row r="40" spans="11:11">
      <c r="K40" t="s">
        <v>7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29" sqref="D29:D30"/>
    </sheetView>
  </sheetViews>
  <sheetFormatPr defaultColWidth="9.23076923076923" defaultRowHeight="16.8" outlineLevelRow="4" outlineLevelCol="5"/>
  <sheetData>
    <row r="1" spans="1:6">
      <c r="A1" s="3" t="s">
        <v>8</v>
      </c>
      <c r="B1" s="3"/>
      <c r="C1" s="3"/>
      <c r="D1" s="3"/>
      <c r="E1" s="3"/>
      <c r="F1" s="3"/>
    </row>
    <row r="2" spans="1:6">
      <c r="A2" s="4" t="s">
        <v>9</v>
      </c>
      <c r="B2" s="4">
        <v>2021</v>
      </c>
      <c r="C2" s="4">
        <v>2022</v>
      </c>
      <c r="D2" s="4">
        <v>2023</v>
      </c>
      <c r="E2" s="4">
        <v>2024</v>
      </c>
      <c r="F2" s="4">
        <v>2025</v>
      </c>
    </row>
    <row r="3" spans="1:6">
      <c r="A3" s="4" t="s">
        <v>10</v>
      </c>
      <c r="B3" s="4">
        <v>1094</v>
      </c>
      <c r="C3" s="4">
        <v>1276</v>
      </c>
      <c r="D3" s="4">
        <v>1506</v>
      </c>
      <c r="E3" s="4">
        <v>1741</v>
      </c>
      <c r="F3" s="4">
        <v>1721</v>
      </c>
    </row>
    <row r="4" spans="1:6">
      <c r="A4" s="4" t="s">
        <v>11</v>
      </c>
      <c r="B4" s="4">
        <v>662</v>
      </c>
      <c r="C4" s="4">
        <v>740</v>
      </c>
      <c r="D4" s="4">
        <v>833</v>
      </c>
      <c r="E4" s="4">
        <v>892</v>
      </c>
      <c r="F4" s="4">
        <v>405</v>
      </c>
    </row>
    <row r="5" spans="1:6">
      <c r="A5" s="4" t="s">
        <v>12</v>
      </c>
      <c r="B5" s="4">
        <v>206</v>
      </c>
      <c r="C5" s="4">
        <v>251</v>
      </c>
      <c r="D5" s="4">
        <v>302</v>
      </c>
      <c r="E5" s="4">
        <v>312</v>
      </c>
      <c r="F5" s="4">
        <v>257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opLeftCell="B1" workbookViewId="0">
      <selection activeCell="E26" sqref="E26"/>
    </sheetView>
  </sheetViews>
  <sheetFormatPr defaultColWidth="9.23076923076923" defaultRowHeight="16.8" outlineLevelRow="4" outlineLevelCol="5"/>
  <sheetData>
    <row r="1" spans="1:6">
      <c r="A1" s="1" t="s">
        <v>13</v>
      </c>
      <c r="B1" s="1"/>
      <c r="C1" s="1"/>
      <c r="D1" s="1"/>
      <c r="E1" s="1"/>
      <c r="F1" s="1"/>
    </row>
    <row r="2" spans="1:6">
      <c r="A2" s="2" t="s">
        <v>9</v>
      </c>
      <c r="B2" s="2">
        <v>2021</v>
      </c>
      <c r="C2" s="2">
        <v>2022</v>
      </c>
      <c r="D2" s="2">
        <v>2023</v>
      </c>
      <c r="E2" s="2">
        <v>2024</v>
      </c>
      <c r="F2" s="2">
        <v>2025</v>
      </c>
    </row>
    <row r="3" spans="1:6">
      <c r="A3" s="2" t="s">
        <v>10</v>
      </c>
      <c r="B3" s="2">
        <v>49.4</v>
      </c>
      <c r="C3" s="2">
        <v>50.54</v>
      </c>
      <c r="D3" s="2">
        <v>50.6</v>
      </c>
      <c r="E3" s="2">
        <v>50.46</v>
      </c>
      <c r="F3" s="2">
        <v>48.76</v>
      </c>
    </row>
    <row r="4" spans="1:6">
      <c r="A4" s="2" t="s">
        <v>11</v>
      </c>
      <c r="B4" s="2">
        <v>35.72</v>
      </c>
      <c r="C4" s="2">
        <v>36.08</v>
      </c>
      <c r="D4" s="2">
        <v>36.28</v>
      </c>
      <c r="E4" s="2">
        <v>35.72</v>
      </c>
      <c r="F4" s="2">
        <v>22.09</v>
      </c>
    </row>
    <row r="5" spans="1:6">
      <c r="A5" s="2" t="s">
        <v>12</v>
      </c>
      <c r="B5" s="2">
        <v>38.54</v>
      </c>
      <c r="C5" s="2">
        <v>41.26</v>
      </c>
      <c r="D5" s="2">
        <v>43.81</v>
      </c>
      <c r="E5" s="2">
        <v>43.19</v>
      </c>
      <c r="F5" s="2">
        <v>42.09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23" sqref="E23"/>
    </sheetView>
  </sheetViews>
  <sheetFormatPr defaultColWidth="9.23076923076923" defaultRowHeight="16.8" outlineLevelRow="4" outlineLevelCol="5"/>
  <sheetData>
    <row r="1" spans="1:6">
      <c r="A1" s="1" t="s">
        <v>14</v>
      </c>
      <c r="B1" s="1"/>
      <c r="C1" s="1"/>
      <c r="D1" s="1"/>
      <c r="E1" s="1"/>
      <c r="F1" s="1"/>
    </row>
    <row r="2" spans="1:6">
      <c r="A2" s="2" t="s">
        <v>9</v>
      </c>
      <c r="B2" s="2">
        <v>2021</v>
      </c>
      <c r="C2" s="2">
        <v>2022</v>
      </c>
      <c r="D2" s="2">
        <v>2023</v>
      </c>
      <c r="E2" s="2">
        <v>2024</v>
      </c>
      <c r="F2" s="2">
        <v>2025</v>
      </c>
    </row>
    <row r="3" spans="1:6">
      <c r="A3" s="2" t="s">
        <v>10</v>
      </c>
      <c r="B3" s="2">
        <v>29.9</v>
      </c>
      <c r="C3" s="2">
        <v>30.26</v>
      </c>
      <c r="D3" s="2">
        <v>34.19</v>
      </c>
      <c r="E3" s="2">
        <v>36.02</v>
      </c>
      <c r="F3" s="2">
        <v>32.53</v>
      </c>
    </row>
    <row r="4" spans="1:6">
      <c r="A4" s="2" t="s">
        <v>11</v>
      </c>
      <c r="B4" s="2">
        <v>25.3</v>
      </c>
      <c r="C4" s="2">
        <v>25.28</v>
      </c>
      <c r="D4" s="2">
        <v>25.06</v>
      </c>
      <c r="E4" s="2">
        <v>23.35</v>
      </c>
      <c r="F4" s="2">
        <v>6.89</v>
      </c>
    </row>
    <row r="5" spans="1:6">
      <c r="A5" s="2" t="s">
        <v>12</v>
      </c>
      <c r="B5" s="2">
        <v>31.15</v>
      </c>
      <c r="C5" s="2">
        <v>33.32</v>
      </c>
      <c r="D5" s="2">
        <v>35.07</v>
      </c>
      <c r="E5" s="2">
        <v>30.44</v>
      </c>
      <c r="F5" s="2">
        <v>22.66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:F5"/>
    </sheetView>
  </sheetViews>
  <sheetFormatPr defaultColWidth="9.23076923076923" defaultRowHeight="16.8" outlineLevelRow="4" outlineLevelCol="5"/>
  <sheetData>
    <row r="1" spans="1:6">
      <c r="A1" s="1" t="s">
        <v>15</v>
      </c>
      <c r="B1" s="1"/>
      <c r="C1" s="1"/>
      <c r="D1" s="1"/>
      <c r="E1" s="1"/>
      <c r="F1" s="1"/>
    </row>
    <row r="2" spans="1:6">
      <c r="A2" s="2" t="s">
        <v>9</v>
      </c>
      <c r="B2" s="2">
        <v>2021</v>
      </c>
      <c r="C2" s="2">
        <v>2022</v>
      </c>
      <c r="D2" s="2">
        <v>2023</v>
      </c>
      <c r="E2" s="2">
        <v>2024</v>
      </c>
      <c r="F2" s="2">
        <v>2025</v>
      </c>
    </row>
    <row r="3" spans="1:6">
      <c r="A3" s="2" t="s">
        <v>10</v>
      </c>
      <c r="B3" s="2">
        <v>3.81</v>
      </c>
      <c r="C3" s="2">
        <v>4.42</v>
      </c>
      <c r="D3" s="2">
        <v>4.62</v>
      </c>
      <c r="E3" s="2">
        <v>4.45</v>
      </c>
      <c r="F3" s="2">
        <v>5.09</v>
      </c>
    </row>
    <row r="4" spans="1:6">
      <c r="A4" s="2" t="s">
        <v>11</v>
      </c>
      <c r="B4" s="2">
        <v>2.43</v>
      </c>
      <c r="C4" s="2">
        <v>3.16</v>
      </c>
      <c r="D4" s="2">
        <v>3.42</v>
      </c>
      <c r="E4" s="2">
        <v>3.25</v>
      </c>
      <c r="F4" s="2">
        <v>2.45</v>
      </c>
    </row>
    <row r="5" spans="1:6">
      <c r="A5" s="2" t="s">
        <v>12</v>
      </c>
      <c r="B5" s="2">
        <v>2.43</v>
      </c>
      <c r="C5" s="2">
        <v>3.15</v>
      </c>
      <c r="D5" s="2">
        <v>4.5</v>
      </c>
      <c r="E5" s="2">
        <v>3.56</v>
      </c>
      <c r="F5" s="2">
        <v>3.86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2" sqref="A2:F5"/>
    </sheetView>
  </sheetViews>
  <sheetFormatPr defaultColWidth="9.23076923076923" defaultRowHeight="16.8" outlineLevelRow="4" outlineLevelCol="5"/>
  <sheetData>
    <row r="1" spans="1:6">
      <c r="A1" s="1" t="s">
        <v>16</v>
      </c>
      <c r="B1" s="1"/>
      <c r="C1" s="1"/>
      <c r="D1" s="1"/>
      <c r="E1" s="1"/>
      <c r="F1" s="1"/>
    </row>
    <row r="2" spans="1:6">
      <c r="A2" s="2" t="s">
        <v>9</v>
      </c>
      <c r="B2" s="2">
        <v>2021</v>
      </c>
      <c r="C2" s="2">
        <v>2022</v>
      </c>
      <c r="D2" s="2">
        <v>2023</v>
      </c>
      <c r="E2" s="2">
        <v>2024</v>
      </c>
      <c r="F2" s="2">
        <v>2025</v>
      </c>
    </row>
    <row r="3" spans="1:6">
      <c r="A3" s="2" t="s">
        <v>10</v>
      </c>
      <c r="B3" s="2">
        <v>11.88</v>
      </c>
      <c r="C3" s="2">
        <v>16.87</v>
      </c>
      <c r="D3" s="2">
        <v>19.01</v>
      </c>
      <c r="E3" s="2">
        <v>15.71</v>
      </c>
      <c r="F3" s="2">
        <v>-1.21</v>
      </c>
    </row>
    <row r="4" spans="1:6">
      <c r="A4" s="2" t="s">
        <v>11</v>
      </c>
      <c r="B4" s="2">
        <v>15.51</v>
      </c>
      <c r="C4" s="2">
        <v>11.72</v>
      </c>
      <c r="D4" s="2">
        <v>12.58</v>
      </c>
      <c r="E4" s="2">
        <v>7.09</v>
      </c>
      <c r="F4" s="2">
        <v>-54.55</v>
      </c>
    </row>
    <row r="5" spans="1:6">
      <c r="A5" s="2" t="s">
        <v>12</v>
      </c>
      <c r="B5" s="2">
        <v>23.96</v>
      </c>
      <c r="C5" s="2">
        <v>21.71</v>
      </c>
      <c r="D5" s="2">
        <v>20.34</v>
      </c>
      <c r="E5" s="2">
        <v>3.19</v>
      </c>
      <c r="F5" s="2">
        <v>-17.52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看板首页</vt:lpstr>
      <vt:lpstr>收入数据</vt:lpstr>
      <vt:lpstr>净利润率</vt:lpstr>
      <vt:lpstr>ROE</vt:lpstr>
      <vt:lpstr>流动比率</vt:lpstr>
      <vt:lpstr>收入增长率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jjh</dc:creator>
  <cp:lastModifiedBy>星空</cp:lastModifiedBy>
  <dcterms:created xsi:type="dcterms:W3CDTF">2026-07-01T11:58:31Z</dcterms:created>
  <dcterms:modified xsi:type="dcterms:W3CDTF">2026-07-01T12:28:25Z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32C6E90AE3765C7A6790446A68E49CA4_41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